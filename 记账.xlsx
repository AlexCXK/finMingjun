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finjun\"/>
    </mc:Choice>
  </mc:AlternateContent>
  <xr:revisionPtr revIDLastSave="0" documentId="13_ncr:1_{51E383F3-2095-4F4D-B928-8BF47574F6B9}" xr6:coauthVersionLast="47" xr6:coauthVersionMax="47" xr10:uidLastSave="{00000000-0000-0000-0000-000000000000}"/>
  <bookViews>
    <workbookView xWindow="-110" yWindow="-110" windowWidth="38620" windowHeight="21220" activeTab="12" xr2:uid="{00000000-000D-0000-FFFF-FFFF00000000}"/>
  </bookViews>
  <sheets>
    <sheet name="第一期" sheetId="1" r:id="rId1"/>
    <sheet name="第二期" sheetId="2" r:id="rId2"/>
    <sheet name="第三期" sheetId="3" r:id="rId3"/>
    <sheet name="第四期" sheetId="4" r:id="rId4"/>
    <sheet name="第五期" sheetId="5" r:id="rId5"/>
    <sheet name="第六期" sheetId="6" r:id="rId6"/>
    <sheet name="第七期" sheetId="7" r:id="rId7"/>
    <sheet name="第八期" sheetId="8" r:id="rId8"/>
    <sheet name="第九期" sheetId="9" r:id="rId9"/>
    <sheet name="第十期" sheetId="10" r:id="rId10"/>
    <sheet name="第十一期" sheetId="11" r:id="rId11"/>
    <sheet name="第十二期" sheetId="12" r:id="rId12"/>
    <sheet name="第十三期" sheetId="13" r:id="rId13"/>
  </sheets>
  <definedNames>
    <definedName name="_xlnm._FilterDatabase" localSheetId="1" hidden="1">第二期!$A$1:$G$23</definedName>
    <definedName name="_xlnm._FilterDatabase" localSheetId="5" hidden="1">第六期!$A$1:$D$17</definedName>
    <definedName name="_xlnm._FilterDatabase" localSheetId="2" hidden="1">第三期!$A$1:$D$21</definedName>
    <definedName name="_xlnm._FilterDatabase" localSheetId="3" hidden="1">第四期!$A$1:$C$18</definedName>
    <definedName name="_xlnm._FilterDatabase" localSheetId="0" hidden="1">第一期!$A$2:$C$20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3" l="1"/>
  <c r="C13" i="13" s="1"/>
  <c r="C5" i="13"/>
  <c r="C3" i="13"/>
  <c r="C7" i="13" s="1"/>
  <c r="C40" i="12"/>
  <c r="C39" i="12"/>
  <c r="C38" i="12"/>
  <c r="C34" i="12"/>
  <c r="C30" i="12"/>
  <c r="C26" i="12"/>
  <c r="C25" i="12"/>
  <c r="C24" i="12"/>
  <c r="C17" i="12"/>
  <c r="C16" i="12"/>
  <c r="C15" i="12"/>
  <c r="F10" i="12"/>
  <c r="C7" i="12"/>
  <c r="C6" i="12"/>
  <c r="C5" i="12"/>
  <c r="C21" i="11"/>
  <c r="C19" i="11"/>
  <c r="F14" i="11"/>
  <c r="C17" i="11"/>
  <c r="C15" i="11"/>
  <c r="C13" i="11"/>
  <c r="C12" i="11"/>
  <c r="C10" i="11"/>
  <c r="E11" i="11"/>
  <c r="C9" i="11"/>
  <c r="C10" i="10"/>
  <c r="C7" i="11"/>
  <c r="C8" i="11" s="1"/>
  <c r="C5" i="11"/>
  <c r="C3" i="11"/>
  <c r="C16" i="10"/>
  <c r="C14" i="10"/>
  <c r="C12" i="10"/>
  <c r="C9" i="10"/>
  <c r="C7" i="10"/>
  <c r="C3" i="10"/>
  <c r="C20" i="9"/>
  <c r="G20" i="9"/>
  <c r="F20" i="9"/>
  <c r="C9" i="9"/>
  <c r="C18" i="9"/>
  <c r="D18" i="9"/>
  <c r="C17" i="9"/>
  <c r="C15" i="9"/>
  <c r="C13" i="9"/>
  <c r="C12" i="9"/>
  <c r="C11" i="9"/>
  <c r="C8" i="9"/>
  <c r="C6" i="9"/>
  <c r="C3" i="9"/>
  <c r="C20" i="8"/>
  <c r="C18" i="8"/>
  <c r="G16" i="8"/>
  <c r="C16" i="8"/>
  <c r="C14" i="8"/>
  <c r="C12" i="8"/>
  <c r="C10" i="8"/>
  <c r="C8" i="8"/>
  <c r="C7" i="8"/>
  <c r="C5" i="8"/>
  <c r="C3" i="8"/>
  <c r="C20" i="7"/>
  <c r="C18" i="7"/>
  <c r="C17" i="7"/>
  <c r="C16" i="7"/>
  <c r="C14" i="7"/>
  <c r="F8" i="7"/>
  <c r="F7" i="7"/>
  <c r="C12" i="7"/>
  <c r="C10" i="7"/>
  <c r="C9" i="7"/>
  <c r="C7" i="7"/>
  <c r="C5" i="7"/>
  <c r="C3" i="7"/>
  <c r="C1" i="7"/>
  <c r="C15" i="6"/>
  <c r="C13" i="6"/>
  <c r="C11" i="6"/>
  <c r="C9" i="6"/>
  <c r="C17" i="6" s="1"/>
  <c r="C7" i="6"/>
  <c r="C5" i="6"/>
  <c r="C3" i="6"/>
  <c r="C14" i="5"/>
  <c r="C12" i="5"/>
  <c r="C11" i="5"/>
  <c r="C10" i="5"/>
  <c r="C8" i="5"/>
  <c r="C6" i="5"/>
  <c r="C5" i="5"/>
  <c r="C3" i="5"/>
  <c r="C18" i="4"/>
  <c r="C16" i="4"/>
  <c r="C14" i="4"/>
  <c r="C12" i="4"/>
  <c r="C10" i="4"/>
  <c r="C9" i="4"/>
  <c r="C7" i="4"/>
  <c r="C6" i="4"/>
  <c r="C3" i="4"/>
  <c r="C19" i="3"/>
  <c r="C17" i="3"/>
  <c r="C15" i="3"/>
  <c r="C13" i="3"/>
  <c r="C11" i="3"/>
  <c r="C8" i="3"/>
  <c r="C9" i="3" s="1"/>
  <c r="C21" i="3" s="1"/>
  <c r="C6" i="3"/>
  <c r="C5" i="3"/>
  <c r="C23" i="2"/>
  <c r="C21" i="2"/>
  <c r="G20" i="2"/>
  <c r="C19" i="2"/>
  <c r="C17" i="2"/>
  <c r="C15" i="2"/>
  <c r="C12" i="2"/>
  <c r="C10" i="2"/>
  <c r="C9" i="2"/>
  <c r="C7" i="2"/>
  <c r="C6" i="2"/>
  <c r="C5" i="2"/>
  <c r="D3" i="2"/>
  <c r="C3" i="2"/>
  <c r="C2" i="2"/>
  <c r="C18" i="1"/>
  <c r="E2" i="1"/>
  <c r="C17" i="1"/>
  <c r="C15" i="1"/>
  <c r="C14" i="1"/>
  <c r="C13" i="1"/>
  <c r="C12" i="1"/>
  <c r="C10" i="1"/>
  <c r="A10" i="1"/>
  <c r="C8" i="1"/>
  <c r="C7" i="1"/>
  <c r="C5" i="1"/>
  <c r="C4" i="1"/>
  <c r="C20" i="1" s="1"/>
</calcChain>
</file>

<file path=xl/sharedStrings.xml><?xml version="1.0" encoding="utf-8"?>
<sst xmlns="http://schemas.openxmlformats.org/spreadsheetml/2006/main" count="243" uniqueCount="36">
  <si>
    <t>邮政银行</t>
    <phoneticPr fontId="1" type="noConversion"/>
  </si>
  <si>
    <t>广发银行</t>
    <phoneticPr fontId="1" type="noConversion"/>
  </si>
  <si>
    <t>华夏银行</t>
    <phoneticPr fontId="1" type="noConversion"/>
  </si>
  <si>
    <t>月费</t>
    <phoneticPr fontId="1" type="noConversion"/>
  </si>
  <si>
    <t>上月</t>
    <phoneticPr fontId="1" type="noConversion"/>
  </si>
  <si>
    <t>利息</t>
    <phoneticPr fontId="1" type="noConversion"/>
  </si>
  <si>
    <t>上期</t>
    <phoneticPr fontId="1" type="noConversion"/>
  </si>
  <si>
    <t>刷机大额费率0.0076了</t>
    <phoneticPr fontId="1" type="noConversion"/>
  </si>
  <si>
    <t>上期结余</t>
    <phoneticPr fontId="1" type="noConversion"/>
  </si>
  <si>
    <t>服务费</t>
    <phoneticPr fontId="1" type="noConversion"/>
  </si>
  <si>
    <t>利息0.0055</t>
    <phoneticPr fontId="1" type="noConversion"/>
  </si>
  <si>
    <t>微信还款</t>
    <phoneticPr fontId="1" type="noConversion"/>
  </si>
  <si>
    <t>合计</t>
    <phoneticPr fontId="1" type="noConversion"/>
  </si>
  <si>
    <t>（还错卡，不扣手续费）</t>
    <phoneticPr fontId="1" type="noConversion"/>
  </si>
  <si>
    <t>结息</t>
    <phoneticPr fontId="1" type="noConversion"/>
  </si>
  <si>
    <t>月份</t>
    <phoneticPr fontId="1" type="noConversion"/>
  </si>
  <si>
    <t>汇总</t>
    <phoneticPr fontId="1" type="noConversion"/>
  </si>
  <si>
    <t>结余</t>
    <phoneticPr fontId="1" type="noConversion"/>
  </si>
  <si>
    <t>华夏</t>
    <phoneticPr fontId="1" type="noConversion"/>
  </si>
  <si>
    <t>微信转账</t>
    <phoneticPr fontId="1" type="noConversion"/>
  </si>
  <si>
    <t>利息0.055（降额后提不出）</t>
    <phoneticPr fontId="1" type="noConversion"/>
  </si>
  <si>
    <t>总欠款</t>
    <phoneticPr fontId="1" type="noConversion"/>
  </si>
  <si>
    <t>上期欠款</t>
    <phoneticPr fontId="1" type="noConversion"/>
  </si>
  <si>
    <t>转33098.4*1.0057成本</t>
    <phoneticPr fontId="1" type="noConversion"/>
  </si>
  <si>
    <t>转35000*1.0057成本</t>
    <phoneticPr fontId="1" type="noConversion"/>
  </si>
  <si>
    <t>计息</t>
    <phoneticPr fontId="1" type="noConversion"/>
  </si>
  <si>
    <t>还款5000</t>
    <phoneticPr fontId="1" type="noConversion"/>
  </si>
  <si>
    <t>手续费300</t>
    <phoneticPr fontId="1" type="noConversion"/>
  </si>
  <si>
    <t>1%利息</t>
    <phoneticPr fontId="1" type="noConversion"/>
  </si>
  <si>
    <t>华夏邮政上期欠款</t>
    <phoneticPr fontId="1" type="noConversion"/>
  </si>
  <si>
    <t>还款</t>
    <phoneticPr fontId="1" type="noConversion"/>
  </si>
  <si>
    <t>300手续费</t>
    <phoneticPr fontId="1" type="noConversion"/>
  </si>
  <si>
    <t>5月1%利息</t>
    <phoneticPr fontId="1" type="noConversion"/>
  </si>
  <si>
    <t>.</t>
    <phoneticPr fontId="1" type="noConversion"/>
  </si>
  <si>
    <t>（7月3日转支付宝6000，微信有转账过-3500）</t>
    <phoneticPr fontId="1" type="noConversion"/>
  </si>
  <si>
    <t>手续费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</si>
</sst>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0"/>
  <sheetViews>
    <sheetView workbookViewId="0"/>
  </sheetViews>
  <sheetFormatPr defaultRowHeight="14" x14ac:dyDescent="0.3"/>
  <cols>
    <col min="1" max="1" width="9.1640625" bestFit="1" customWidth="1"/>
    <col min="3" max="3" width="30.5" customWidth="1"/>
  </cols>
  <sheetData>
    <row r="2" spans="1:5" x14ac:dyDescent="0.3">
      <c r="A2">
        <v>20250428</v>
      </c>
      <c r="B2" t="s">
        <v>0</v>
      </c>
      <c r="C2">
        <v>-27000</v>
      </c>
      <c r="E2">
        <f>0.9945</f>
        <v>0.99450000000000005</v>
      </c>
    </row>
    <row r="3" spans="1:5" x14ac:dyDescent="0.3">
      <c r="A3">
        <v>20250429</v>
      </c>
      <c r="B3" t="s">
        <v>1</v>
      </c>
      <c r="C3">
        <v>-22929.53</v>
      </c>
    </row>
    <row r="4" spans="1:5" x14ac:dyDescent="0.3">
      <c r="A4">
        <v>20250429</v>
      </c>
      <c r="B4" t="s">
        <v>0</v>
      </c>
      <c r="C4">
        <f>19000*0.9945</f>
        <v>18895.5</v>
      </c>
    </row>
    <row r="5" spans="1:5" x14ac:dyDescent="0.3">
      <c r="A5">
        <v>20250430</v>
      </c>
      <c r="B5" t="s">
        <v>1</v>
      </c>
      <c r="C5">
        <f>19000*0.9945</f>
        <v>18895.5</v>
      </c>
    </row>
    <row r="6" spans="1:5" x14ac:dyDescent="0.3">
      <c r="A6">
        <v>20250502</v>
      </c>
      <c r="B6" t="s">
        <v>2</v>
      </c>
      <c r="C6">
        <v>-30000</v>
      </c>
    </row>
    <row r="7" spans="1:5" x14ac:dyDescent="0.3">
      <c r="A7">
        <v>20250504</v>
      </c>
      <c r="B7" t="s">
        <v>2</v>
      </c>
      <c r="C7">
        <f>15000*0.9945</f>
        <v>14917.5</v>
      </c>
    </row>
    <row r="8" spans="1:5" x14ac:dyDescent="0.3">
      <c r="A8">
        <v>20250504</v>
      </c>
      <c r="B8" t="s">
        <v>2</v>
      </c>
      <c r="C8">
        <f>12000*0.9945</f>
        <v>11934</v>
      </c>
    </row>
    <row r="9" spans="1:5" x14ac:dyDescent="0.3">
      <c r="A9">
        <v>20250504</v>
      </c>
      <c r="B9" t="s">
        <v>2</v>
      </c>
      <c r="C9">
        <v>-30000</v>
      </c>
    </row>
    <row r="10" spans="1:5" x14ac:dyDescent="0.3">
      <c r="A10">
        <f>20250505</f>
        <v>20250505</v>
      </c>
      <c r="B10" t="s">
        <v>2</v>
      </c>
      <c r="C10">
        <f>18000*0.9945</f>
        <v>17901</v>
      </c>
    </row>
    <row r="11" spans="1:5" x14ac:dyDescent="0.3">
      <c r="A11">
        <v>20250506</v>
      </c>
      <c r="B11" t="s">
        <v>2</v>
      </c>
      <c r="C11">
        <v>-20000</v>
      </c>
    </row>
    <row r="12" spans="1:5" x14ac:dyDescent="0.3">
      <c r="A12">
        <v>20250508</v>
      </c>
      <c r="B12" t="s">
        <v>2</v>
      </c>
      <c r="C12">
        <f>19500*0.9945</f>
        <v>19392.75</v>
      </c>
    </row>
    <row r="13" spans="1:5" x14ac:dyDescent="0.3">
      <c r="A13">
        <v>20250508</v>
      </c>
      <c r="B13" t="s">
        <v>2</v>
      </c>
      <c r="C13">
        <f>11000*0.9945</f>
        <v>10939.5</v>
      </c>
    </row>
    <row r="14" spans="1:5" x14ac:dyDescent="0.3">
      <c r="A14">
        <v>20250508</v>
      </c>
      <c r="B14" t="s">
        <v>0</v>
      </c>
      <c r="C14">
        <f>7300*0.9945</f>
        <v>7259.85</v>
      </c>
    </row>
    <row r="15" spans="1:5" x14ac:dyDescent="0.3">
      <c r="A15">
        <v>20250508</v>
      </c>
      <c r="B15" t="s">
        <v>1</v>
      </c>
      <c r="C15">
        <f>3400*0.9945</f>
        <v>3381.3</v>
      </c>
    </row>
    <row r="16" spans="1:5" x14ac:dyDescent="0.3">
      <c r="A16">
        <v>20250508</v>
      </c>
      <c r="B16" t="s">
        <v>2</v>
      </c>
      <c r="C16">
        <v>-34619.589999999997</v>
      </c>
    </row>
    <row r="17" spans="1:3" x14ac:dyDescent="0.3">
      <c r="A17">
        <v>20250509</v>
      </c>
      <c r="B17" t="s">
        <v>2</v>
      </c>
      <c r="C17">
        <f>19000*0.9945</f>
        <v>18895.5</v>
      </c>
    </row>
    <row r="18" spans="1:3" x14ac:dyDescent="0.3">
      <c r="A18">
        <v>20250510</v>
      </c>
      <c r="B18" t="s">
        <v>2</v>
      </c>
      <c r="C18">
        <f>17400*0.9945</f>
        <v>17304.3</v>
      </c>
    </row>
    <row r="19" spans="1:3" x14ac:dyDescent="0.3">
      <c r="A19">
        <v>20250510</v>
      </c>
      <c r="B19" t="s">
        <v>3</v>
      </c>
      <c r="C19">
        <v>-500</v>
      </c>
    </row>
    <row r="20" spans="1:3" x14ac:dyDescent="0.3">
      <c r="C20">
        <f>SUM(C2:C19)</f>
        <v>-5332.4199999999946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BDA6-07E3-4B99-B587-35B765CBE3EB}">
  <dimension ref="A1:G23"/>
  <sheetViews>
    <sheetView zoomScale="145" zoomScaleNormal="145" workbookViewId="0">
      <selection activeCell="C11" sqref="C11:C21"/>
    </sheetView>
  </sheetViews>
  <sheetFormatPr defaultRowHeight="14" x14ac:dyDescent="0.3"/>
  <cols>
    <col min="1" max="1" width="9.1640625" bestFit="1" customWidth="1"/>
  </cols>
  <sheetData>
    <row r="1" spans="1:4" x14ac:dyDescent="0.3">
      <c r="A1">
        <v>20250515</v>
      </c>
      <c r="B1" t="s">
        <v>4</v>
      </c>
      <c r="C1">
        <v>-5332.42</v>
      </c>
    </row>
    <row r="2" spans="1:4" x14ac:dyDescent="0.3">
      <c r="A2">
        <v>20250515</v>
      </c>
      <c r="B2" t="s">
        <v>1</v>
      </c>
      <c r="C2">
        <f>-24306.78</f>
        <v>-24306.78</v>
      </c>
    </row>
    <row r="3" spans="1:4" x14ac:dyDescent="0.3">
      <c r="A3">
        <v>20250517</v>
      </c>
      <c r="B3" t="s">
        <v>1</v>
      </c>
      <c r="C3">
        <f>19000*0.9945</f>
        <v>18895.5</v>
      </c>
      <c r="D3">
        <f>C2+19000</f>
        <v>-5306.7799999999988</v>
      </c>
    </row>
    <row r="4" spans="1:4" x14ac:dyDescent="0.3">
      <c r="A4">
        <v>20250517</v>
      </c>
      <c r="B4" t="s">
        <v>0</v>
      </c>
      <c r="C4">
        <v>-27645.75</v>
      </c>
    </row>
    <row r="5" spans="1:4" x14ac:dyDescent="0.3">
      <c r="A5">
        <v>20250518</v>
      </c>
      <c r="B5" t="s">
        <v>1</v>
      </c>
      <c r="C5">
        <f>5300*0.9945</f>
        <v>5270.85</v>
      </c>
    </row>
    <row r="6" spans="1:4" x14ac:dyDescent="0.3">
      <c r="A6">
        <v>20250518</v>
      </c>
      <c r="B6" t="s">
        <v>0</v>
      </c>
      <c r="C6">
        <f>19000*0.9945</f>
        <v>18895.5</v>
      </c>
    </row>
    <row r="7" spans="1:4" x14ac:dyDescent="0.3">
      <c r="A7">
        <v>20250519</v>
      </c>
      <c r="B7" t="s">
        <v>0</v>
      </c>
      <c r="C7">
        <f>8600*0.9945</f>
        <v>8552.7000000000007</v>
      </c>
    </row>
    <row r="8" spans="1:4" x14ac:dyDescent="0.3">
      <c r="A8">
        <v>20250519</v>
      </c>
      <c r="B8" t="s">
        <v>3</v>
      </c>
      <c r="C8">
        <v>-300</v>
      </c>
    </row>
    <row r="9" spans="1:4" x14ac:dyDescent="0.3">
      <c r="C9">
        <f>SUM(C1:C8)</f>
        <v>-5970.3999999999978</v>
      </c>
    </row>
    <row r="10" spans="1:4" x14ac:dyDescent="0.3">
      <c r="A10">
        <v>20250531</v>
      </c>
      <c r="B10" t="s">
        <v>5</v>
      </c>
      <c r="C10">
        <f>-5970.4*1.006</f>
        <v>-6006.2223999999997</v>
      </c>
      <c r="D10">
        <v>6.0000000000000001E-3</v>
      </c>
    </row>
    <row r="11" spans="1:4" x14ac:dyDescent="0.3">
      <c r="A11">
        <v>20250531</v>
      </c>
      <c r="B11" t="s">
        <v>2</v>
      </c>
      <c r="C11">
        <v>-20000</v>
      </c>
    </row>
    <row r="12" spans="1:4" x14ac:dyDescent="0.3">
      <c r="A12">
        <v>20250601</v>
      </c>
      <c r="B12" t="s">
        <v>2</v>
      </c>
      <c r="C12">
        <f>19000*0.9945</f>
        <v>18895.5</v>
      </c>
    </row>
    <row r="13" spans="1:4" x14ac:dyDescent="0.3">
      <c r="A13">
        <v>20250602</v>
      </c>
      <c r="B13" t="s">
        <v>2</v>
      </c>
      <c r="C13">
        <v>-12000</v>
      </c>
    </row>
    <row r="14" spans="1:4" x14ac:dyDescent="0.3">
      <c r="A14">
        <v>20250603</v>
      </c>
      <c r="B14" t="s">
        <v>2</v>
      </c>
      <c r="C14">
        <v>-20000</v>
      </c>
    </row>
    <row r="15" spans="1:4" x14ac:dyDescent="0.3">
      <c r="A15">
        <v>20250604</v>
      </c>
      <c r="B15" t="s">
        <v>2</v>
      </c>
      <c r="C15">
        <f>26000*0.9945</f>
        <v>25857</v>
      </c>
    </row>
    <row r="16" spans="1:4" x14ac:dyDescent="0.3">
      <c r="A16">
        <v>20250605</v>
      </c>
      <c r="B16" t="s">
        <v>2</v>
      </c>
      <c r="C16">
        <v>-20000</v>
      </c>
    </row>
    <row r="17" spans="1:7" x14ac:dyDescent="0.3">
      <c r="A17">
        <v>20250607</v>
      </c>
      <c r="B17" t="s">
        <v>2</v>
      </c>
      <c r="C17">
        <f>21000*0.9945</f>
        <v>20884.5</v>
      </c>
      <c r="G17">
        <v>117066.75</v>
      </c>
    </row>
    <row r="18" spans="1:7" x14ac:dyDescent="0.3">
      <c r="A18">
        <v>20250608</v>
      </c>
      <c r="B18" t="s">
        <v>2</v>
      </c>
      <c r="C18">
        <v>-25066.75</v>
      </c>
    </row>
    <row r="19" spans="1:7" x14ac:dyDescent="0.3">
      <c r="A19">
        <v>20250609</v>
      </c>
      <c r="B19" t="s">
        <v>2</v>
      </c>
      <c r="C19">
        <f>22000*0.9945</f>
        <v>21879</v>
      </c>
      <c r="G19">
        <v>97066.75</v>
      </c>
    </row>
    <row r="20" spans="1:7" x14ac:dyDescent="0.3">
      <c r="A20">
        <v>20250610</v>
      </c>
      <c r="B20" t="s">
        <v>2</v>
      </c>
      <c r="C20">
        <v>-20000</v>
      </c>
      <c r="G20">
        <f>G17-G19</f>
        <v>20000</v>
      </c>
    </row>
    <row r="21" spans="1:7" x14ac:dyDescent="0.3">
      <c r="A21">
        <v>20250610</v>
      </c>
      <c r="B21" t="s">
        <v>2</v>
      </c>
      <c r="C21">
        <f>20040*0.9945</f>
        <v>19929.780000000002</v>
      </c>
    </row>
    <row r="22" spans="1:7" x14ac:dyDescent="0.3">
      <c r="A22">
        <v>20250610</v>
      </c>
      <c r="B22" t="s">
        <v>3</v>
      </c>
      <c r="C22">
        <v>-200</v>
      </c>
    </row>
    <row r="23" spans="1:7" x14ac:dyDescent="0.3">
      <c r="C23">
        <f>SUM(C10:C22)</f>
        <v>-15827.192399999996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F1BED-9974-4957-9CE0-95C8059AC507}">
  <dimension ref="A1:F21"/>
  <sheetViews>
    <sheetView zoomScaleNormal="100" workbookViewId="0">
      <selection activeCell="C10" sqref="C10:C19"/>
    </sheetView>
  </sheetViews>
  <sheetFormatPr defaultRowHeight="14" x14ac:dyDescent="0.3"/>
  <cols>
    <col min="1" max="1" width="9.1640625" bestFit="1" customWidth="1"/>
    <col min="6" max="6" width="15.4140625" customWidth="1"/>
  </cols>
  <sheetData>
    <row r="1" spans="1:6" x14ac:dyDescent="0.3">
      <c r="A1">
        <v>20250618</v>
      </c>
      <c r="B1" t="s">
        <v>6</v>
      </c>
      <c r="C1">
        <v>-15827.2</v>
      </c>
    </row>
    <row r="2" spans="1:6" x14ac:dyDescent="0.3">
      <c r="A2">
        <v>20250618</v>
      </c>
      <c r="B2" t="s">
        <v>1</v>
      </c>
      <c r="C2">
        <v>-28189.61</v>
      </c>
    </row>
    <row r="3" spans="1:6" x14ac:dyDescent="0.3">
      <c r="A3">
        <v>20250619</v>
      </c>
      <c r="B3" t="s">
        <v>1</v>
      </c>
      <c r="C3">
        <v>27788.799999999999</v>
      </c>
      <c r="D3" t="s">
        <v>7</v>
      </c>
    </row>
    <row r="4" spans="1:6" x14ac:dyDescent="0.3">
      <c r="A4">
        <v>20250619</v>
      </c>
      <c r="B4" t="s">
        <v>0</v>
      </c>
      <c r="C4">
        <v>-34900</v>
      </c>
    </row>
    <row r="5" spans="1:6" x14ac:dyDescent="0.3">
      <c r="A5">
        <v>20250620</v>
      </c>
      <c r="B5" t="s">
        <v>0</v>
      </c>
      <c r="C5">
        <f>21000*0.9945</f>
        <v>20884.5</v>
      </c>
    </row>
    <row r="6" spans="1:6" x14ac:dyDescent="0.3">
      <c r="A6">
        <v>20250624</v>
      </c>
      <c r="B6" t="s">
        <v>0</v>
      </c>
      <c r="C6">
        <f>14000*0.9945</f>
        <v>13923</v>
      </c>
    </row>
    <row r="7" spans="1:6" x14ac:dyDescent="0.3">
      <c r="A7">
        <v>20250624</v>
      </c>
      <c r="B7" t="s">
        <v>3</v>
      </c>
      <c r="C7">
        <v>-300</v>
      </c>
    </row>
    <row r="8" spans="1:6" x14ac:dyDescent="0.3">
      <c r="C8">
        <f>SUM(C1:C7)</f>
        <v>-16620.509999999995</v>
      </c>
    </row>
    <row r="9" spans="1:6" x14ac:dyDescent="0.3">
      <c r="A9">
        <v>20250630</v>
      </c>
      <c r="B9" t="s">
        <v>5</v>
      </c>
      <c r="C9">
        <f>C8*1.006</f>
        <v>-16720.233059999995</v>
      </c>
      <c r="D9">
        <v>6.0000000000000001E-3</v>
      </c>
    </row>
    <row r="10" spans="1:6" x14ac:dyDescent="0.3">
      <c r="A10">
        <v>20250701</v>
      </c>
      <c r="B10" t="s">
        <v>2</v>
      </c>
      <c r="C10">
        <v>-20000</v>
      </c>
    </row>
    <row r="11" spans="1:6" x14ac:dyDescent="0.3">
      <c r="A11">
        <v>20250702</v>
      </c>
      <c r="B11" t="s">
        <v>2</v>
      </c>
      <c r="C11">
        <f>19000*0.9945</f>
        <v>18895.5</v>
      </c>
    </row>
    <row r="12" spans="1:6" x14ac:dyDescent="0.3">
      <c r="A12">
        <v>20250702</v>
      </c>
      <c r="B12" t="s">
        <v>2</v>
      </c>
      <c r="C12">
        <v>-20000</v>
      </c>
    </row>
    <row r="13" spans="1:6" x14ac:dyDescent="0.3">
      <c r="A13">
        <v>20250703</v>
      </c>
      <c r="B13" t="s">
        <v>2</v>
      </c>
      <c r="C13">
        <f>19000*0.9945</f>
        <v>18895.5</v>
      </c>
    </row>
    <row r="14" spans="1:6" x14ac:dyDescent="0.3">
      <c r="A14">
        <v>20250704</v>
      </c>
      <c r="B14" t="s">
        <v>2</v>
      </c>
      <c r="C14">
        <v>-20000</v>
      </c>
    </row>
    <row r="15" spans="1:6" x14ac:dyDescent="0.3">
      <c r="A15">
        <v>20250706</v>
      </c>
      <c r="B15" t="s">
        <v>2</v>
      </c>
      <c r="C15">
        <f>19000*0.9945</f>
        <v>18895.5</v>
      </c>
    </row>
    <row r="16" spans="1:6" x14ac:dyDescent="0.3">
      <c r="A16">
        <v>20250707</v>
      </c>
      <c r="B16" t="s">
        <v>2</v>
      </c>
      <c r="C16">
        <v>-21000</v>
      </c>
      <c r="F16">
        <v>113069.15</v>
      </c>
    </row>
    <row r="17" spans="1:6" x14ac:dyDescent="0.3">
      <c r="A17">
        <v>20250708</v>
      </c>
      <c r="B17" t="s">
        <v>2</v>
      </c>
      <c r="C17">
        <f>21000*0.9945</f>
        <v>20884.5</v>
      </c>
      <c r="F17">
        <v>-81000</v>
      </c>
    </row>
    <row r="18" spans="1:6" x14ac:dyDescent="0.3">
      <c r="A18">
        <v>20250709</v>
      </c>
      <c r="B18" t="s">
        <v>2</v>
      </c>
      <c r="C18">
        <v>-32069.15</v>
      </c>
    </row>
    <row r="19" spans="1:6" x14ac:dyDescent="0.3">
      <c r="A19">
        <v>20250710</v>
      </c>
      <c r="B19" t="s">
        <v>2</v>
      </c>
      <c r="C19">
        <f>34400*0.9945</f>
        <v>34210.800000000003</v>
      </c>
    </row>
    <row r="20" spans="1:6" x14ac:dyDescent="0.3">
      <c r="A20">
        <v>20250710</v>
      </c>
      <c r="B20" t="s">
        <v>3</v>
      </c>
      <c r="C20">
        <v>-200</v>
      </c>
    </row>
    <row r="21" spans="1:6" x14ac:dyDescent="0.3">
      <c r="C21">
        <f>SUM(C9:C20)</f>
        <v>-18207.583059999997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C4C8B-07FE-4725-BD7B-011DB0A833C9}">
  <dimension ref="A1:I18"/>
  <sheetViews>
    <sheetView workbookViewId="0">
      <selection activeCell="C11" sqref="C11:C16"/>
    </sheetView>
  </sheetViews>
  <sheetFormatPr defaultRowHeight="14" x14ac:dyDescent="0.3"/>
  <cols>
    <col min="1" max="1" width="9.1640625" bestFit="1" customWidth="1"/>
  </cols>
  <sheetData>
    <row r="1" spans="1:9" x14ac:dyDescent="0.3">
      <c r="A1">
        <v>20250719</v>
      </c>
      <c r="B1" t="s">
        <v>8</v>
      </c>
      <c r="C1">
        <v>-18207.599999999999</v>
      </c>
    </row>
    <row r="2" spans="1:9" x14ac:dyDescent="0.3">
      <c r="A2">
        <v>20250719</v>
      </c>
      <c r="B2" t="s">
        <v>1</v>
      </c>
      <c r="C2">
        <v>-20000</v>
      </c>
    </row>
    <row r="3" spans="1:9" x14ac:dyDescent="0.3">
      <c r="A3">
        <v>20250719</v>
      </c>
      <c r="B3" t="s">
        <v>1</v>
      </c>
      <c r="C3">
        <f>19500*0.9945</f>
        <v>19392.75</v>
      </c>
    </row>
    <row r="4" spans="1:9" x14ac:dyDescent="0.3">
      <c r="A4">
        <v>20250722</v>
      </c>
      <c r="B4" t="s">
        <v>1</v>
      </c>
      <c r="C4">
        <v>-8594.61</v>
      </c>
    </row>
    <row r="5" spans="1:9" x14ac:dyDescent="0.3">
      <c r="A5">
        <v>20250722</v>
      </c>
      <c r="B5" t="s">
        <v>0</v>
      </c>
      <c r="C5">
        <v>-35000</v>
      </c>
    </row>
    <row r="6" spans="1:9" x14ac:dyDescent="0.3">
      <c r="A6">
        <v>20250723</v>
      </c>
      <c r="B6" t="s">
        <v>0</v>
      </c>
      <c r="C6">
        <f>35000*0.9945</f>
        <v>34807.5</v>
      </c>
    </row>
    <row r="7" spans="1:9" x14ac:dyDescent="0.3">
      <c r="A7">
        <v>20250723</v>
      </c>
      <c r="B7" t="s">
        <v>1</v>
      </c>
      <c r="C7">
        <f>9000*0.9945</f>
        <v>8950.5</v>
      </c>
    </row>
    <row r="8" spans="1:9" x14ac:dyDescent="0.3">
      <c r="A8">
        <v>20250723</v>
      </c>
      <c r="B8" t="s">
        <v>3</v>
      </c>
      <c r="C8">
        <v>-300</v>
      </c>
      <c r="I8">
        <v>35000</v>
      </c>
    </row>
    <row r="9" spans="1:9" x14ac:dyDescent="0.3">
      <c r="C9">
        <f>SUM(C1:C8)</f>
        <v>-18951.46</v>
      </c>
      <c r="I9">
        <v>8594.61</v>
      </c>
    </row>
    <row r="10" spans="1:9" x14ac:dyDescent="0.3">
      <c r="A10">
        <v>20250723</v>
      </c>
      <c r="B10" t="s">
        <v>5</v>
      </c>
      <c r="C10">
        <f>-18951.5*1.0055</f>
        <v>-19055.733250000001</v>
      </c>
    </row>
    <row r="11" spans="1:9" x14ac:dyDescent="0.3">
      <c r="A11">
        <v>20250725</v>
      </c>
      <c r="B11" t="s">
        <v>2</v>
      </c>
      <c r="C11">
        <v>-50000</v>
      </c>
    </row>
    <row r="12" spans="1:9" x14ac:dyDescent="0.3">
      <c r="A12">
        <v>20250726</v>
      </c>
      <c r="B12" t="s">
        <v>2</v>
      </c>
      <c r="C12">
        <f>49000*0.9945</f>
        <v>48730.5</v>
      </c>
    </row>
    <row r="13" spans="1:9" x14ac:dyDescent="0.3">
      <c r="A13">
        <v>20250727</v>
      </c>
      <c r="B13" t="s">
        <v>2</v>
      </c>
      <c r="C13">
        <v>-50000</v>
      </c>
    </row>
    <row r="14" spans="1:9" x14ac:dyDescent="0.3">
      <c r="A14">
        <v>20250728</v>
      </c>
      <c r="B14" t="s">
        <v>2</v>
      </c>
      <c r="C14">
        <f>48500*0.9945</f>
        <v>48233.25</v>
      </c>
    </row>
    <row r="15" spans="1:9" x14ac:dyDescent="0.3">
      <c r="A15">
        <v>20250729</v>
      </c>
      <c r="B15" t="s">
        <v>2</v>
      </c>
      <c r="C15">
        <v>-13471.25</v>
      </c>
      <c r="F15">
        <v>113471.25</v>
      </c>
      <c r="H15">
        <v>13471.25</v>
      </c>
    </row>
    <row r="16" spans="1:9" x14ac:dyDescent="0.3">
      <c r="A16">
        <v>20250730</v>
      </c>
      <c r="B16" t="s">
        <v>2</v>
      </c>
      <c r="C16">
        <f>15800*0.9945</f>
        <v>15713.1</v>
      </c>
    </row>
    <row r="17" spans="1:3" x14ac:dyDescent="0.3">
      <c r="A17">
        <v>20250730</v>
      </c>
      <c r="B17" t="s">
        <v>3</v>
      </c>
      <c r="C17">
        <v>-200</v>
      </c>
    </row>
    <row r="18" spans="1:3" x14ac:dyDescent="0.3">
      <c r="C18">
        <f>SUM(C10:C17)</f>
        <v>-20050.133250000006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9A6BB-F725-4ADF-98EB-8A0AC41822C4}">
  <dimension ref="A1:C14"/>
  <sheetViews>
    <sheetView workbookViewId="0">
      <selection activeCell="C10" sqref="C10:C13"/>
    </sheetView>
  </sheetViews>
  <sheetFormatPr defaultRowHeight="14" x14ac:dyDescent="0.3"/>
  <cols>
    <col min="1" max="1" width="9.1640625" bestFit="1" customWidth="1"/>
    <col min="2" max="2" width="10.25" bestFit="1" customWidth="1"/>
    <col min="3" max="3" width="15" customWidth="1"/>
  </cols>
  <sheetData>
    <row r="1" spans="1:3" x14ac:dyDescent="0.3">
      <c r="A1">
        <v>20250818</v>
      </c>
      <c r="B1" t="s">
        <v>8</v>
      </c>
      <c r="C1">
        <v>-20050.099999999999</v>
      </c>
    </row>
    <row r="2" spans="1:3" x14ac:dyDescent="0.3">
      <c r="A2">
        <v>20250818</v>
      </c>
      <c r="B2" t="s">
        <v>0</v>
      </c>
      <c r="C2">
        <v>-35000</v>
      </c>
    </row>
    <row r="3" spans="1:3" x14ac:dyDescent="0.3">
      <c r="A3">
        <v>20250819</v>
      </c>
      <c r="B3" t="s">
        <v>0</v>
      </c>
      <c r="C3">
        <f>35000*0.9945</f>
        <v>34807.5</v>
      </c>
    </row>
    <row r="4" spans="1:3" x14ac:dyDescent="0.3">
      <c r="A4">
        <v>20250820</v>
      </c>
      <c r="B4" t="s">
        <v>1</v>
      </c>
      <c r="C4">
        <v>-29050.61</v>
      </c>
    </row>
    <row r="5" spans="1:3" x14ac:dyDescent="0.3">
      <c r="A5">
        <v>20250820</v>
      </c>
      <c r="B5" t="s">
        <v>1</v>
      </c>
      <c r="C5">
        <f>29000*0.9945</f>
        <v>28840.5</v>
      </c>
    </row>
    <row r="6" spans="1:3" x14ac:dyDescent="0.3">
      <c r="C6">
        <f>SUM(C1:C5)</f>
        <v>-20452.71</v>
      </c>
    </row>
    <row r="7" spans="1:3" x14ac:dyDescent="0.3">
      <c r="A7">
        <v>20250820</v>
      </c>
      <c r="B7" t="s">
        <v>9</v>
      </c>
      <c r="C7">
        <v>-300</v>
      </c>
    </row>
    <row r="8" spans="1:3" x14ac:dyDescent="0.3">
      <c r="A8">
        <v>20250820</v>
      </c>
      <c r="B8" t="s">
        <v>10</v>
      </c>
      <c r="C8">
        <f>SUM(C6:C7)*1.0055</f>
        <v>-20866.849904999999</v>
      </c>
    </row>
    <row r="9" spans="1:3" x14ac:dyDescent="0.3">
      <c r="A9">
        <v>20250824</v>
      </c>
      <c r="B9" t="s">
        <v>11</v>
      </c>
      <c r="C9">
        <v>5000</v>
      </c>
    </row>
    <row r="10" spans="1:3" x14ac:dyDescent="0.3">
      <c r="C10">
        <f>SUM(C8:C9)</f>
        <v>-15866.849904999999</v>
      </c>
    </row>
    <row r="11" spans="1:3" x14ac:dyDescent="0.3">
      <c r="A11">
        <v>20250910</v>
      </c>
      <c r="B11" t="s">
        <v>2</v>
      </c>
      <c r="C11">
        <f>-40000+-40000+-13000+-21268.81</f>
        <v>-114268.81</v>
      </c>
    </row>
    <row r="12" spans="1:3" x14ac:dyDescent="0.3">
      <c r="A12">
        <v>20250910</v>
      </c>
      <c r="B12" t="s">
        <v>2</v>
      </c>
      <c r="C12">
        <f>(39000+39000+14000+21900)*0.9945</f>
        <v>113273.55</v>
      </c>
    </row>
    <row r="13" spans="1:3" x14ac:dyDescent="0.3">
      <c r="A13">
        <v>20250910</v>
      </c>
      <c r="B13" t="s">
        <v>9</v>
      </c>
      <c r="C13">
        <v>-200</v>
      </c>
    </row>
    <row r="14" spans="1:3" x14ac:dyDescent="0.3">
      <c r="B14" t="s">
        <v>12</v>
      </c>
      <c r="C14">
        <f>SUM(C10:C13)</f>
        <v>-17062.10990499999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A04AC-8AA7-4810-8A7A-589FCD759F09}">
  <dimension ref="A1:D17"/>
  <sheetViews>
    <sheetView workbookViewId="0">
      <selection activeCell="C6" sqref="C6:C7"/>
    </sheetView>
  </sheetViews>
  <sheetFormatPr defaultRowHeight="14" x14ac:dyDescent="0.3"/>
  <cols>
    <col min="1" max="1" width="9.1640625" bestFit="1" customWidth="1"/>
  </cols>
  <sheetData>
    <row r="1" spans="1:4" x14ac:dyDescent="0.3">
      <c r="A1">
        <v>20250919</v>
      </c>
      <c r="B1" t="s">
        <v>8</v>
      </c>
      <c r="C1">
        <v>-17062</v>
      </c>
    </row>
    <row r="2" spans="1:4" x14ac:dyDescent="0.3">
      <c r="A2">
        <v>20250919</v>
      </c>
      <c r="B2" t="s">
        <v>0</v>
      </c>
      <c r="C2">
        <v>-35000</v>
      </c>
    </row>
    <row r="3" spans="1:4" x14ac:dyDescent="0.3">
      <c r="A3">
        <v>20250920</v>
      </c>
      <c r="B3" t="s">
        <v>0</v>
      </c>
      <c r="C3">
        <f>34500*0.9945</f>
        <v>34310.25</v>
      </c>
    </row>
    <row r="4" spans="1:4" x14ac:dyDescent="0.3">
      <c r="A4">
        <v>20250920</v>
      </c>
      <c r="B4" t="s">
        <v>2</v>
      </c>
      <c r="C4">
        <v>-30350.61</v>
      </c>
    </row>
    <row r="5" spans="1:4" x14ac:dyDescent="0.3">
      <c r="A5">
        <v>20250920</v>
      </c>
      <c r="B5" t="s">
        <v>2</v>
      </c>
      <c r="C5">
        <f>29500</f>
        <v>29500</v>
      </c>
      <c r="D5" t="s">
        <v>13</v>
      </c>
    </row>
    <row r="6" spans="1:4" x14ac:dyDescent="0.3">
      <c r="A6">
        <v>20250921</v>
      </c>
      <c r="B6" t="s">
        <v>1</v>
      </c>
      <c r="C6">
        <v>-30350.61</v>
      </c>
    </row>
    <row r="7" spans="1:4" x14ac:dyDescent="0.3">
      <c r="A7">
        <v>20250921</v>
      </c>
      <c r="B7" t="s">
        <v>1</v>
      </c>
      <c r="C7">
        <f>28500*0.9945</f>
        <v>28343.25</v>
      </c>
    </row>
    <row r="8" spans="1:4" x14ac:dyDescent="0.3">
      <c r="A8">
        <v>20250921</v>
      </c>
      <c r="B8" t="s">
        <v>3</v>
      </c>
      <c r="C8">
        <v>-300</v>
      </c>
    </row>
    <row r="9" spans="1:4" x14ac:dyDescent="0.3">
      <c r="A9">
        <v>20250921</v>
      </c>
      <c r="B9" t="s">
        <v>14</v>
      </c>
      <c r="C9">
        <f>SUM(C1:C8)*1.0055</f>
        <v>-21024.723460000001</v>
      </c>
    </row>
    <row r="10" spans="1:4" x14ac:dyDescent="0.3">
      <c r="A10">
        <v>20250930</v>
      </c>
      <c r="B10" t="s">
        <v>2</v>
      </c>
      <c r="C10">
        <v>-40000</v>
      </c>
    </row>
    <row r="11" spans="1:4" x14ac:dyDescent="0.3">
      <c r="A11">
        <v>20250930</v>
      </c>
      <c r="B11" t="s">
        <v>2</v>
      </c>
      <c r="C11">
        <f>39000*0.9945</f>
        <v>38785.5</v>
      </c>
    </row>
    <row r="12" spans="1:4" x14ac:dyDescent="0.3">
      <c r="A12">
        <v>20251002</v>
      </c>
      <c r="B12" t="s">
        <v>2</v>
      </c>
      <c r="C12">
        <v>-45000</v>
      </c>
    </row>
    <row r="13" spans="1:4" x14ac:dyDescent="0.3">
      <c r="A13">
        <v>20251004</v>
      </c>
      <c r="B13" t="s">
        <v>2</v>
      </c>
      <c r="C13">
        <f>44000*0.9945</f>
        <v>43758</v>
      </c>
    </row>
    <row r="14" spans="1:4" x14ac:dyDescent="0.3">
      <c r="A14">
        <v>20251008</v>
      </c>
      <c r="B14" t="s">
        <v>2</v>
      </c>
      <c r="C14">
        <v>-28982.77</v>
      </c>
    </row>
    <row r="15" spans="1:4" x14ac:dyDescent="0.3">
      <c r="A15">
        <v>20251008</v>
      </c>
      <c r="B15" t="s">
        <v>2</v>
      </c>
      <c r="C15">
        <f>31700*0.9945</f>
        <v>31525.65</v>
      </c>
    </row>
    <row r="16" spans="1:4" x14ac:dyDescent="0.3">
      <c r="A16">
        <v>20251008</v>
      </c>
      <c r="B16" t="s">
        <v>15</v>
      </c>
      <c r="C16">
        <v>-200</v>
      </c>
    </row>
    <row r="17" spans="2:3" x14ac:dyDescent="0.3">
      <c r="B17" t="s">
        <v>16</v>
      </c>
      <c r="C17">
        <f>SUM(C8:C16)</f>
        <v>-21438.343460000011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1148C-C0A5-4506-9E10-8DA73DD86842}">
  <dimension ref="A1:F20"/>
  <sheetViews>
    <sheetView workbookViewId="0">
      <selection activeCell="C12" sqref="C12:C19"/>
    </sheetView>
  </sheetViews>
  <sheetFormatPr defaultRowHeight="14" x14ac:dyDescent="0.3"/>
  <cols>
    <col min="1" max="1" width="9.1640625" bestFit="1" customWidth="1"/>
  </cols>
  <sheetData>
    <row r="1" spans="1:6" x14ac:dyDescent="0.3">
      <c r="A1">
        <v>20251021</v>
      </c>
      <c r="B1" t="s">
        <v>8</v>
      </c>
      <c r="C1">
        <f>-21438.3</f>
        <v>-21438.3</v>
      </c>
    </row>
    <row r="2" spans="1:6" x14ac:dyDescent="0.3">
      <c r="A2">
        <v>20251021</v>
      </c>
      <c r="B2" t="s">
        <v>0</v>
      </c>
      <c r="C2">
        <v>-24000</v>
      </c>
    </row>
    <row r="3" spans="1:6" x14ac:dyDescent="0.3">
      <c r="A3">
        <v>20251021</v>
      </c>
      <c r="B3" t="s">
        <v>0</v>
      </c>
      <c r="C3">
        <f>23000*0.9945</f>
        <v>22873.5</v>
      </c>
    </row>
    <row r="4" spans="1:6" x14ac:dyDescent="0.3">
      <c r="A4">
        <v>20251023</v>
      </c>
      <c r="B4" t="s">
        <v>0</v>
      </c>
      <c r="C4">
        <v>-10500</v>
      </c>
    </row>
    <row r="5" spans="1:6" x14ac:dyDescent="0.3">
      <c r="A5">
        <v>20251023</v>
      </c>
      <c r="B5" t="s">
        <v>0</v>
      </c>
      <c r="C5">
        <f>10200*0.9945</f>
        <v>10143.9</v>
      </c>
    </row>
    <row r="6" spans="1:6" x14ac:dyDescent="0.3">
      <c r="A6">
        <v>20251024</v>
      </c>
      <c r="B6" t="s">
        <v>1</v>
      </c>
      <c r="C6">
        <v>-20000</v>
      </c>
    </row>
    <row r="7" spans="1:6" x14ac:dyDescent="0.3">
      <c r="A7">
        <v>20251024</v>
      </c>
      <c r="B7" t="s">
        <v>1</v>
      </c>
      <c r="C7">
        <f>19000*0.9945</f>
        <v>18895.5</v>
      </c>
      <c r="F7">
        <f>SUM(C1,C4,C6,C8)*0.0055</f>
        <v>-335.43900500000001</v>
      </c>
    </row>
    <row r="8" spans="1:6" x14ac:dyDescent="0.3">
      <c r="A8">
        <v>20251024</v>
      </c>
      <c r="B8" t="s">
        <v>1</v>
      </c>
      <c r="C8">
        <v>-9050.61</v>
      </c>
      <c r="F8">
        <f>C1+F7</f>
        <v>-21773.739004999999</v>
      </c>
    </row>
    <row r="9" spans="1:6" x14ac:dyDescent="0.3">
      <c r="A9">
        <v>20251030</v>
      </c>
      <c r="B9" t="s">
        <v>1</v>
      </c>
      <c r="C9">
        <f>10500*0.9945</f>
        <v>10442.25</v>
      </c>
    </row>
    <row r="10" spans="1:6" x14ac:dyDescent="0.3">
      <c r="A10">
        <v>20251030</v>
      </c>
      <c r="B10" t="s">
        <v>16</v>
      </c>
      <c r="C10">
        <f>SUM(C1:C9)</f>
        <v>-22633.760000000002</v>
      </c>
    </row>
    <row r="11" spans="1:6" x14ac:dyDescent="0.3">
      <c r="A11">
        <v>20251030</v>
      </c>
      <c r="B11" t="s">
        <v>3</v>
      </c>
      <c r="C11">
        <v>-300</v>
      </c>
    </row>
    <row r="12" spans="1:6" x14ac:dyDescent="0.3">
      <c r="A12">
        <v>20251030</v>
      </c>
      <c r="B12" t="s">
        <v>14</v>
      </c>
      <c r="C12">
        <f>SUM(C10:C11)*1.0055</f>
        <v>-23059.895680000005</v>
      </c>
    </row>
    <row r="13" spans="1:6" x14ac:dyDescent="0.3">
      <c r="A13">
        <v>20251102</v>
      </c>
      <c r="B13" t="s">
        <v>2</v>
      </c>
      <c r="C13">
        <v>-45000</v>
      </c>
    </row>
    <row r="14" spans="1:6" x14ac:dyDescent="0.3">
      <c r="A14">
        <v>20251102</v>
      </c>
      <c r="B14" t="s">
        <v>2</v>
      </c>
      <c r="C14">
        <f>44000*0.9945</f>
        <v>43758</v>
      </c>
    </row>
    <row r="15" spans="1:6" x14ac:dyDescent="0.3">
      <c r="A15">
        <v>20251107</v>
      </c>
      <c r="B15" t="s">
        <v>2</v>
      </c>
      <c r="C15">
        <v>-45000</v>
      </c>
    </row>
    <row r="16" spans="1:6" x14ac:dyDescent="0.3">
      <c r="A16">
        <v>20251107</v>
      </c>
      <c r="B16" t="s">
        <v>2</v>
      </c>
      <c r="C16">
        <f>45000*0.9945</f>
        <v>44752.5</v>
      </c>
    </row>
    <row r="17" spans="1:3" x14ac:dyDescent="0.3">
      <c r="A17">
        <v>20251110</v>
      </c>
      <c r="B17" t="s">
        <v>2</v>
      </c>
      <c r="C17">
        <f>-25241.09</f>
        <v>-25241.09</v>
      </c>
    </row>
    <row r="18" spans="1:3" x14ac:dyDescent="0.3">
      <c r="A18">
        <v>20251110</v>
      </c>
      <c r="B18" t="s">
        <v>2</v>
      </c>
      <c r="C18">
        <f>26000*0.9945</f>
        <v>25857</v>
      </c>
    </row>
    <row r="19" spans="1:3" x14ac:dyDescent="0.3">
      <c r="A19">
        <v>20251110</v>
      </c>
      <c r="B19" t="s">
        <v>3</v>
      </c>
      <c r="C19">
        <v>-200</v>
      </c>
    </row>
    <row r="20" spans="1:3" x14ac:dyDescent="0.3">
      <c r="B20" t="s">
        <v>16</v>
      </c>
      <c r="C20">
        <f>SUM(C12:C19)</f>
        <v>-24133.485679999998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539DF-7026-4871-A5DF-16AEA200E00F}">
  <dimension ref="A1:G20"/>
  <sheetViews>
    <sheetView workbookViewId="0">
      <selection activeCell="C19" sqref="C8:C19"/>
    </sheetView>
  </sheetViews>
  <sheetFormatPr defaultRowHeight="14" x14ac:dyDescent="0.3"/>
  <cols>
    <col min="1" max="1" width="9.1640625" bestFit="1" customWidth="1"/>
  </cols>
  <sheetData>
    <row r="1" spans="1:7" x14ac:dyDescent="0.3">
      <c r="A1">
        <v>20251111</v>
      </c>
      <c r="B1" t="s">
        <v>8</v>
      </c>
      <c r="C1">
        <v>-24133.5</v>
      </c>
    </row>
    <row r="2" spans="1:7" x14ac:dyDescent="0.3">
      <c r="A2">
        <v>20251111</v>
      </c>
      <c r="B2" t="s">
        <v>1</v>
      </c>
      <c r="C2">
        <v>-30050.61</v>
      </c>
    </row>
    <row r="3" spans="1:7" x14ac:dyDescent="0.3">
      <c r="A3">
        <v>20251111</v>
      </c>
      <c r="B3" t="s">
        <v>1</v>
      </c>
      <c r="C3">
        <f>29500*0.9945</f>
        <v>29337.75</v>
      </c>
    </row>
    <row r="4" spans="1:7" x14ac:dyDescent="0.3">
      <c r="A4">
        <v>20251113</v>
      </c>
      <c r="B4" t="s">
        <v>0</v>
      </c>
      <c r="C4">
        <v>-33200</v>
      </c>
    </row>
    <row r="5" spans="1:7" x14ac:dyDescent="0.3">
      <c r="A5">
        <v>20251116</v>
      </c>
      <c r="B5" t="s">
        <v>0</v>
      </c>
      <c r="C5">
        <f>33000*0.9945</f>
        <v>32818.5</v>
      </c>
    </row>
    <row r="6" spans="1:7" x14ac:dyDescent="0.3">
      <c r="A6">
        <v>20251116</v>
      </c>
      <c r="B6" t="s">
        <v>3</v>
      </c>
      <c r="C6">
        <v>-300</v>
      </c>
    </row>
    <row r="7" spans="1:7" x14ac:dyDescent="0.3">
      <c r="A7">
        <v>20251116</v>
      </c>
      <c r="B7" t="s">
        <v>17</v>
      </c>
      <c r="C7">
        <f>SUM(C1:C6)</f>
        <v>-25527.86</v>
      </c>
    </row>
    <row r="8" spans="1:7" x14ac:dyDescent="0.3">
      <c r="A8">
        <v>20251116</v>
      </c>
      <c r="B8" t="s">
        <v>14</v>
      </c>
      <c r="C8">
        <f>C7*1.0055</f>
        <v>-25668.26323</v>
      </c>
    </row>
    <row r="9" spans="1:7" x14ac:dyDescent="0.3">
      <c r="A9">
        <v>20251202</v>
      </c>
      <c r="B9" t="s">
        <v>18</v>
      </c>
      <c r="C9">
        <v>-30000</v>
      </c>
    </row>
    <row r="10" spans="1:7" x14ac:dyDescent="0.3">
      <c r="A10">
        <v>20251203</v>
      </c>
      <c r="B10" t="s">
        <v>18</v>
      </c>
      <c r="C10">
        <f>29000*0.9945</f>
        <v>28840.5</v>
      </c>
    </row>
    <row r="11" spans="1:7" x14ac:dyDescent="0.3">
      <c r="A11">
        <v>20251204</v>
      </c>
      <c r="B11" t="s">
        <v>18</v>
      </c>
      <c r="C11">
        <v>-25000</v>
      </c>
    </row>
    <row r="12" spans="1:7" x14ac:dyDescent="0.3">
      <c r="A12">
        <v>20251205</v>
      </c>
      <c r="B12" t="s">
        <v>18</v>
      </c>
      <c r="C12">
        <f>24500*0.9945</f>
        <v>24365.25</v>
      </c>
    </row>
    <row r="13" spans="1:7" x14ac:dyDescent="0.3">
      <c r="A13">
        <v>20251208</v>
      </c>
      <c r="B13" t="s">
        <v>18</v>
      </c>
      <c r="C13">
        <v>-25000</v>
      </c>
    </row>
    <row r="14" spans="1:7" x14ac:dyDescent="0.3">
      <c r="A14">
        <v>20251208</v>
      </c>
      <c r="B14" t="s">
        <v>18</v>
      </c>
      <c r="C14">
        <f>25000*0.9945</f>
        <v>24862.5</v>
      </c>
    </row>
    <row r="15" spans="1:7" x14ac:dyDescent="0.3">
      <c r="A15">
        <v>20251210</v>
      </c>
      <c r="B15" t="s">
        <v>18</v>
      </c>
      <c r="C15">
        <v>-28000</v>
      </c>
    </row>
    <row r="16" spans="1:7" x14ac:dyDescent="0.3">
      <c r="A16">
        <v>20251210</v>
      </c>
      <c r="B16" t="s">
        <v>18</v>
      </c>
      <c r="C16">
        <f>27000*0.9945</f>
        <v>26851.5</v>
      </c>
      <c r="E16">
        <v>115541.64</v>
      </c>
      <c r="F16">
        <v>108000</v>
      </c>
      <c r="G16">
        <f>E16-F16</f>
        <v>7541.6399999999994</v>
      </c>
    </row>
    <row r="17" spans="1:3" x14ac:dyDescent="0.3">
      <c r="A17">
        <v>20251210</v>
      </c>
      <c r="B17" t="s">
        <v>18</v>
      </c>
      <c r="C17">
        <v>-7541.64</v>
      </c>
    </row>
    <row r="18" spans="1:3" x14ac:dyDescent="0.3">
      <c r="A18">
        <v>20251213</v>
      </c>
      <c r="B18" t="s">
        <v>18</v>
      </c>
      <c r="C18">
        <f>7500*0.9945</f>
        <v>7458.75</v>
      </c>
    </row>
    <row r="19" spans="1:3" x14ac:dyDescent="0.3">
      <c r="A19">
        <v>20251213</v>
      </c>
      <c r="B19" t="s">
        <v>3</v>
      </c>
      <c r="C19">
        <v>-200</v>
      </c>
    </row>
    <row r="20" spans="1:3" x14ac:dyDescent="0.3">
      <c r="B20" t="s">
        <v>16</v>
      </c>
      <c r="C20">
        <f>SUM(C8:C19)</f>
        <v>-29031.403229999996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D24A7-9AD4-4AFF-BDF1-3EEF0D1695B9}">
  <dimension ref="A1:G20"/>
  <sheetViews>
    <sheetView workbookViewId="0">
      <selection activeCell="C9" activeCellId="1" sqref="C18:C19 C9"/>
    </sheetView>
  </sheetViews>
  <sheetFormatPr defaultRowHeight="14" x14ac:dyDescent="0.3"/>
  <cols>
    <col min="1" max="1" width="9.1640625" bestFit="1" customWidth="1"/>
    <col min="2" max="2" width="23.9140625" customWidth="1"/>
  </cols>
  <sheetData>
    <row r="1" spans="1:4" x14ac:dyDescent="0.3">
      <c r="A1">
        <v>20251217</v>
      </c>
      <c r="B1" t="s">
        <v>8</v>
      </c>
      <c r="C1">
        <v>-29031.4</v>
      </c>
    </row>
    <row r="2" spans="1:4" x14ac:dyDescent="0.3">
      <c r="A2">
        <v>20251217</v>
      </c>
      <c r="B2" t="s">
        <v>0</v>
      </c>
      <c r="C2">
        <v>-33000</v>
      </c>
    </row>
    <row r="3" spans="1:4" x14ac:dyDescent="0.3">
      <c r="A3">
        <v>20251218</v>
      </c>
      <c r="B3" t="s">
        <v>0</v>
      </c>
      <c r="C3">
        <f>34800*0.9945</f>
        <v>34608.6</v>
      </c>
    </row>
    <row r="4" spans="1:4" x14ac:dyDescent="0.3">
      <c r="A4">
        <v>20251218</v>
      </c>
      <c r="B4" t="s">
        <v>19</v>
      </c>
      <c r="C4">
        <v>-2000</v>
      </c>
    </row>
    <row r="5" spans="1:4" x14ac:dyDescent="0.3">
      <c r="A5">
        <v>20251219</v>
      </c>
      <c r="B5" t="s">
        <v>1</v>
      </c>
      <c r="C5">
        <v>-30050.61</v>
      </c>
    </row>
    <row r="6" spans="1:4" x14ac:dyDescent="0.3">
      <c r="A6">
        <v>20251220</v>
      </c>
      <c r="B6" t="s">
        <v>1</v>
      </c>
      <c r="C6">
        <f>30000*0.9945</f>
        <v>29835</v>
      </c>
    </row>
    <row r="7" spans="1:4" x14ac:dyDescent="0.3">
      <c r="A7">
        <v>20251220</v>
      </c>
      <c r="B7" t="s">
        <v>3</v>
      </c>
      <c r="C7">
        <v>-300</v>
      </c>
    </row>
    <row r="8" spans="1:4" x14ac:dyDescent="0.3">
      <c r="A8">
        <v>20251220</v>
      </c>
      <c r="B8" t="s">
        <v>17</v>
      </c>
      <c r="C8">
        <f>SUM(C1:C7)</f>
        <v>-29938.410000000003</v>
      </c>
    </row>
    <row r="9" spans="1:4" x14ac:dyDescent="0.3">
      <c r="A9">
        <v>20251220</v>
      </c>
      <c r="B9" t="s">
        <v>14</v>
      </c>
      <c r="C9" s="1">
        <f>C8*1.0055</f>
        <v>-30103.071255000006</v>
      </c>
    </row>
    <row r="10" spans="1:4" x14ac:dyDescent="0.3">
      <c r="A10">
        <v>20260101</v>
      </c>
      <c r="B10" t="s">
        <v>2</v>
      </c>
      <c r="C10">
        <v>-45000</v>
      </c>
      <c r="D10">
        <v>113880.14</v>
      </c>
    </row>
    <row r="11" spans="1:4" x14ac:dyDescent="0.3">
      <c r="A11">
        <v>20260101</v>
      </c>
      <c r="B11" t="s">
        <v>2</v>
      </c>
      <c r="C11">
        <f>19898*0.9945</f>
        <v>19788.561000000002</v>
      </c>
    </row>
    <row r="12" spans="1:4" x14ac:dyDescent="0.3">
      <c r="A12">
        <v>20260102</v>
      </c>
      <c r="B12" t="s">
        <v>2</v>
      </c>
      <c r="C12">
        <f>24000*0.9945</f>
        <v>23868</v>
      </c>
    </row>
    <row r="13" spans="1:4" x14ac:dyDescent="0.3">
      <c r="A13">
        <v>20260102</v>
      </c>
      <c r="B13" t="s">
        <v>2</v>
      </c>
      <c r="C13">
        <f>-20000</f>
        <v>-20000</v>
      </c>
    </row>
    <row r="14" spans="1:4" x14ac:dyDescent="0.3">
      <c r="A14">
        <v>20260103</v>
      </c>
      <c r="B14" t="s">
        <v>2</v>
      </c>
      <c r="C14">
        <v>-25000</v>
      </c>
    </row>
    <row r="15" spans="1:4" x14ac:dyDescent="0.3">
      <c r="A15">
        <v>20260104</v>
      </c>
      <c r="B15" t="s">
        <v>2</v>
      </c>
      <c r="C15">
        <f>20500*0.9945</f>
        <v>20387.25</v>
      </c>
    </row>
    <row r="16" spans="1:4" x14ac:dyDescent="0.3">
      <c r="A16">
        <v>20260104</v>
      </c>
      <c r="B16" t="s">
        <v>2</v>
      </c>
      <c r="C16">
        <v>-23880.14</v>
      </c>
    </row>
    <row r="17" spans="1:7" x14ac:dyDescent="0.3">
      <c r="A17">
        <v>20260105</v>
      </c>
      <c r="B17" t="s">
        <v>2</v>
      </c>
      <c r="C17">
        <f>3200*0.9945</f>
        <v>3182.4</v>
      </c>
    </row>
    <row r="18" spans="1:7" x14ac:dyDescent="0.3">
      <c r="A18">
        <v>20260105</v>
      </c>
      <c r="B18" t="s">
        <v>20</v>
      </c>
      <c r="C18" s="1">
        <f>-46653.9*1.0055</f>
        <v>-46910.496450000006</v>
      </c>
      <c r="D18">
        <f>SUM(C10:C17)</f>
        <v>-46653.928999999996</v>
      </c>
    </row>
    <row r="19" spans="1:7" x14ac:dyDescent="0.3">
      <c r="A19">
        <v>20260105</v>
      </c>
      <c r="B19" t="s">
        <v>3</v>
      </c>
      <c r="C19" s="1">
        <v>-200</v>
      </c>
    </row>
    <row r="20" spans="1:7" x14ac:dyDescent="0.3">
      <c r="A20">
        <v>20260105</v>
      </c>
      <c r="B20" t="s">
        <v>21</v>
      </c>
      <c r="C20">
        <f>C9+C18+C19</f>
        <v>-77213.567705000009</v>
      </c>
      <c r="E20">
        <v>0.99450000000000005</v>
      </c>
      <c r="F20">
        <f>1-E20</f>
        <v>5.4999999999999494E-3</v>
      </c>
      <c r="G20">
        <f>1+F20</f>
        <v>1.0055000000000001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B37B5-E102-4883-B69B-B1827DC7C02C}">
  <dimension ref="A1:C16"/>
  <sheetViews>
    <sheetView workbookViewId="0">
      <selection activeCell="C10" sqref="C10:C15"/>
    </sheetView>
  </sheetViews>
  <sheetFormatPr defaultRowHeight="14" x14ac:dyDescent="0.3"/>
  <cols>
    <col min="1" max="1" width="9.1640625" bestFit="1" customWidth="1"/>
  </cols>
  <sheetData>
    <row r="1" spans="1:3" x14ac:dyDescent="0.3">
      <c r="A1">
        <v>20260117</v>
      </c>
      <c r="B1" t="s">
        <v>21</v>
      </c>
      <c r="C1">
        <v>-77213.600000000006</v>
      </c>
    </row>
    <row r="2" spans="1:3" x14ac:dyDescent="0.3">
      <c r="A2">
        <v>20260117</v>
      </c>
      <c r="B2" t="s">
        <v>0</v>
      </c>
      <c r="C2">
        <v>-34941.919999999998</v>
      </c>
    </row>
    <row r="3" spans="1:3" x14ac:dyDescent="0.3">
      <c r="A3">
        <v>20260117</v>
      </c>
      <c r="B3" t="s">
        <v>0</v>
      </c>
      <c r="C3">
        <f>34500*0.9945</f>
        <v>34310.25</v>
      </c>
    </row>
    <row r="4" spans="1:3" x14ac:dyDescent="0.3">
      <c r="A4">
        <v>20260119</v>
      </c>
      <c r="B4" t="s">
        <v>2</v>
      </c>
      <c r="C4">
        <v>-31250.47</v>
      </c>
    </row>
    <row r="5" spans="1:3" x14ac:dyDescent="0.3">
      <c r="A5">
        <v>20260119</v>
      </c>
      <c r="B5" t="s">
        <v>2</v>
      </c>
      <c r="C5">
        <v>31000</v>
      </c>
    </row>
    <row r="6" spans="1:3" x14ac:dyDescent="0.3">
      <c r="A6">
        <v>20260119</v>
      </c>
      <c r="B6" t="s">
        <v>1</v>
      </c>
      <c r="C6">
        <v>-31250.47</v>
      </c>
    </row>
    <row r="7" spans="1:3" x14ac:dyDescent="0.3">
      <c r="A7">
        <v>20260119</v>
      </c>
      <c r="B7" t="s">
        <v>1</v>
      </c>
      <c r="C7">
        <f>31100*0.9945</f>
        <v>30928.95</v>
      </c>
    </row>
    <row r="8" spans="1:3" x14ac:dyDescent="0.3">
      <c r="A8">
        <v>20260119</v>
      </c>
      <c r="B8" t="s">
        <v>9</v>
      </c>
      <c r="C8">
        <v>-300</v>
      </c>
    </row>
    <row r="9" spans="1:3" x14ac:dyDescent="0.3">
      <c r="A9">
        <v>20260119</v>
      </c>
      <c r="B9" t="s">
        <v>16</v>
      </c>
      <c r="C9">
        <f>SUM(C1:C8)</f>
        <v>-78717.260000000009</v>
      </c>
    </row>
    <row r="10" spans="1:3" x14ac:dyDescent="0.3">
      <c r="A10">
        <v>20260119</v>
      </c>
      <c r="B10" t="s">
        <v>14</v>
      </c>
      <c r="C10">
        <f>C9*1.0055</f>
        <v>-79150.204930000007</v>
      </c>
    </row>
    <row r="11" spans="1:3" x14ac:dyDescent="0.3">
      <c r="A11">
        <v>20260129</v>
      </c>
      <c r="B11" t="s">
        <v>2</v>
      </c>
      <c r="C11">
        <v>-40000</v>
      </c>
    </row>
    <row r="12" spans="1:3" x14ac:dyDescent="0.3">
      <c r="A12">
        <v>20260129</v>
      </c>
      <c r="B12" t="s">
        <v>2</v>
      </c>
      <c r="C12">
        <f>39000*0.9945</f>
        <v>38785.5</v>
      </c>
    </row>
    <row r="13" spans="1:3" x14ac:dyDescent="0.3">
      <c r="A13">
        <v>20260131</v>
      </c>
      <c r="B13" t="s">
        <v>2</v>
      </c>
      <c r="C13">
        <v>-27787.67</v>
      </c>
    </row>
    <row r="14" spans="1:3" x14ac:dyDescent="0.3">
      <c r="A14">
        <v>20260131</v>
      </c>
      <c r="B14" t="s">
        <v>2</v>
      </c>
      <c r="C14">
        <f>27723.25/0.9975*0.9945</f>
        <v>27639.87180451128</v>
      </c>
    </row>
    <row r="15" spans="1:3" x14ac:dyDescent="0.3">
      <c r="A15">
        <v>20260131</v>
      </c>
      <c r="B15" t="s">
        <v>9</v>
      </c>
      <c r="C15">
        <v>-200</v>
      </c>
    </row>
    <row r="16" spans="1:3" x14ac:dyDescent="0.3">
      <c r="A16">
        <v>20260131</v>
      </c>
      <c r="B16" t="s">
        <v>21</v>
      </c>
      <c r="C16">
        <f>SUM(C10:C15)</f>
        <v>-80712.503125488729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9C17-2726-4E5D-87FA-8C53A451D204}">
  <dimension ref="A1:F21"/>
  <sheetViews>
    <sheetView workbookViewId="0">
      <selection activeCell="C13" sqref="C13"/>
    </sheetView>
  </sheetViews>
  <sheetFormatPr defaultRowHeight="14" x14ac:dyDescent="0.3"/>
  <cols>
    <col min="1" max="1" width="9.1640625" bestFit="1" customWidth="1"/>
  </cols>
  <sheetData>
    <row r="1" spans="1:6" x14ac:dyDescent="0.3">
      <c r="A1">
        <v>20260208</v>
      </c>
      <c r="B1" t="s">
        <v>22</v>
      </c>
      <c r="C1">
        <v>-80712.5</v>
      </c>
    </row>
    <row r="2" spans="1:6" x14ac:dyDescent="0.3">
      <c r="A2">
        <v>20260208</v>
      </c>
      <c r="B2" t="s">
        <v>1</v>
      </c>
      <c r="C2">
        <v>-31650.61</v>
      </c>
    </row>
    <row r="3" spans="1:6" x14ac:dyDescent="0.3">
      <c r="A3">
        <v>20260208</v>
      </c>
      <c r="B3" t="s">
        <v>1</v>
      </c>
      <c r="C3">
        <f>31500*0.9945</f>
        <v>31326.75</v>
      </c>
    </row>
    <row r="4" spans="1:6" x14ac:dyDescent="0.3">
      <c r="A4">
        <v>20260212</v>
      </c>
      <c r="B4" t="s">
        <v>0</v>
      </c>
      <c r="C4">
        <v>-34999</v>
      </c>
    </row>
    <row r="5" spans="1:6" x14ac:dyDescent="0.3">
      <c r="A5">
        <v>20260212</v>
      </c>
      <c r="B5" t="s">
        <v>0</v>
      </c>
      <c r="C5">
        <f>34500*0.9945</f>
        <v>34310.25</v>
      </c>
    </row>
    <row r="6" spans="1:6" x14ac:dyDescent="0.3">
      <c r="A6">
        <v>20260212</v>
      </c>
      <c r="B6" t="s">
        <v>9</v>
      </c>
      <c r="C6">
        <v>-300</v>
      </c>
    </row>
    <row r="7" spans="1:6" x14ac:dyDescent="0.3">
      <c r="A7">
        <v>20260212</v>
      </c>
      <c r="B7" t="s">
        <v>16</v>
      </c>
      <c r="C7">
        <f>SUM(C1:C6)</f>
        <v>-82025.11</v>
      </c>
    </row>
    <row r="8" spans="1:6" x14ac:dyDescent="0.3">
      <c r="A8">
        <v>20260212</v>
      </c>
      <c r="B8" t="s">
        <v>14</v>
      </c>
      <c r="C8">
        <f>C7*1.0055</f>
        <v>-82476.248105000006</v>
      </c>
    </row>
    <row r="9" spans="1:6" x14ac:dyDescent="0.3">
      <c r="A9">
        <v>20260304</v>
      </c>
      <c r="B9" t="s">
        <v>2</v>
      </c>
      <c r="C9">
        <f>-35000*1.0057</f>
        <v>-35199.5</v>
      </c>
      <c r="D9" t="s">
        <v>24</v>
      </c>
    </row>
    <row r="10" spans="1:6" x14ac:dyDescent="0.3">
      <c r="A10">
        <v>20260310</v>
      </c>
      <c r="B10" t="s">
        <v>2</v>
      </c>
      <c r="C10">
        <f>-33098.4*1.0057</f>
        <v>-33287.060880000005</v>
      </c>
      <c r="D10" t="s">
        <v>23</v>
      </c>
    </row>
    <row r="11" spans="1:6" x14ac:dyDescent="0.3">
      <c r="A11">
        <v>20260310</v>
      </c>
      <c r="B11" t="s">
        <v>9</v>
      </c>
      <c r="C11">
        <v>-300</v>
      </c>
      <c r="D11">
        <v>68098.399999999994</v>
      </c>
      <c r="E11">
        <f>D11-35000</f>
        <v>33098.399999999994</v>
      </c>
    </row>
    <row r="12" spans="1:6" x14ac:dyDescent="0.3">
      <c r="A12">
        <v>20260310</v>
      </c>
      <c r="B12" t="s">
        <v>16</v>
      </c>
      <c r="C12">
        <f>SUM(C8:C11)</f>
        <v>-151262.80898500001</v>
      </c>
    </row>
    <row r="13" spans="1:6" x14ac:dyDescent="0.3">
      <c r="A13">
        <v>20260310</v>
      </c>
      <c r="B13" t="s">
        <v>25</v>
      </c>
      <c r="C13">
        <f>C12*1.01</f>
        <v>-152775.43707485002</v>
      </c>
      <c r="D13" s="2">
        <v>0.01</v>
      </c>
    </row>
    <row r="14" spans="1:6" x14ac:dyDescent="0.3">
      <c r="A14">
        <v>20260316</v>
      </c>
      <c r="B14" t="s">
        <v>1</v>
      </c>
      <c r="C14">
        <v>-24000</v>
      </c>
      <c r="E14">
        <v>32050.61</v>
      </c>
      <c r="F14">
        <f>E14+C14</f>
        <v>8050.6100000000006</v>
      </c>
    </row>
    <row r="15" spans="1:6" x14ac:dyDescent="0.3">
      <c r="A15">
        <v>20260316</v>
      </c>
      <c r="B15" t="s">
        <v>1</v>
      </c>
      <c r="C15">
        <f>23500*0.9945</f>
        <v>23370.75</v>
      </c>
    </row>
    <row r="16" spans="1:6" x14ac:dyDescent="0.3">
      <c r="A16">
        <v>20260317</v>
      </c>
      <c r="B16" t="s">
        <v>0</v>
      </c>
      <c r="C16">
        <v>-34500</v>
      </c>
    </row>
    <row r="17" spans="1:3" x14ac:dyDescent="0.3">
      <c r="A17">
        <v>20260317</v>
      </c>
      <c r="B17" t="s">
        <v>0</v>
      </c>
      <c r="C17">
        <f>34000*0.9945</f>
        <v>33813</v>
      </c>
    </row>
    <row r="18" spans="1:3" x14ac:dyDescent="0.3">
      <c r="A18">
        <v>20260323</v>
      </c>
      <c r="B18" t="s">
        <v>1</v>
      </c>
      <c r="C18">
        <v>-8050.61</v>
      </c>
    </row>
    <row r="19" spans="1:3" x14ac:dyDescent="0.3">
      <c r="A19">
        <v>20260323</v>
      </c>
      <c r="B19" t="s">
        <v>1</v>
      </c>
      <c r="C19">
        <f>8000*0.9945</f>
        <v>7956</v>
      </c>
    </row>
    <row r="20" spans="1:3" x14ac:dyDescent="0.3">
      <c r="A20">
        <v>20230323</v>
      </c>
      <c r="B20" t="s">
        <v>9</v>
      </c>
      <c r="C20">
        <v>-300</v>
      </c>
    </row>
    <row r="21" spans="1:3" x14ac:dyDescent="0.3">
      <c r="C21">
        <f>SUM(C14:C20)</f>
        <v>-1710.8600000000006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344AE-7951-4FC6-A5A1-EC2CABB8065A}">
  <dimension ref="A4:F40"/>
  <sheetViews>
    <sheetView topLeftCell="A7" workbookViewId="0">
      <selection activeCell="C40" sqref="C40"/>
    </sheetView>
  </sheetViews>
  <sheetFormatPr defaultRowHeight="14" x14ac:dyDescent="0.3"/>
  <cols>
    <col min="1" max="1" width="9.1640625" bestFit="1" customWidth="1"/>
    <col min="2" max="2" width="16.25" customWidth="1"/>
  </cols>
  <sheetData>
    <row r="4" spans="1:6" x14ac:dyDescent="0.3">
      <c r="A4">
        <v>20260410</v>
      </c>
      <c r="B4" t="s">
        <v>22</v>
      </c>
      <c r="C4">
        <v>-152775</v>
      </c>
    </row>
    <row r="5" spans="1:6" x14ac:dyDescent="0.3">
      <c r="A5">
        <v>20260410</v>
      </c>
      <c r="B5" t="s">
        <v>26</v>
      </c>
      <c r="C5">
        <f>C4+5000</f>
        <v>-147775</v>
      </c>
    </row>
    <row r="6" spans="1:6" x14ac:dyDescent="0.3">
      <c r="A6">
        <v>20260410</v>
      </c>
      <c r="B6" t="s">
        <v>27</v>
      </c>
      <c r="C6">
        <f>C5-300</f>
        <v>-148075</v>
      </c>
    </row>
    <row r="7" spans="1:6" x14ac:dyDescent="0.3">
      <c r="A7">
        <v>20260410</v>
      </c>
      <c r="B7" t="s">
        <v>28</v>
      </c>
      <c r="C7">
        <f>C6*1.01</f>
        <v>-149555.75</v>
      </c>
    </row>
    <row r="10" spans="1:6" x14ac:dyDescent="0.3">
      <c r="F10">
        <f>POWER(1.01,12)</f>
        <v>1.1268250301319698</v>
      </c>
    </row>
    <row r="11" spans="1:6" x14ac:dyDescent="0.3">
      <c r="A11">
        <v>20260423</v>
      </c>
      <c r="B11" t="s">
        <v>29</v>
      </c>
      <c r="C11">
        <v>-1710.86</v>
      </c>
    </row>
    <row r="12" spans="1:6" x14ac:dyDescent="0.3">
      <c r="A12">
        <v>20260422</v>
      </c>
      <c r="B12" t="s">
        <v>0</v>
      </c>
      <c r="C12">
        <v>-34499</v>
      </c>
    </row>
    <row r="13" spans="1:6" x14ac:dyDescent="0.3">
      <c r="A13">
        <v>20260423</v>
      </c>
      <c r="B13" t="s">
        <v>1</v>
      </c>
      <c r="C13">
        <v>-32050.61</v>
      </c>
    </row>
    <row r="14" spans="1:6" x14ac:dyDescent="0.3">
      <c r="A14">
        <v>20260423</v>
      </c>
      <c r="B14" t="s">
        <v>27</v>
      </c>
      <c r="C14">
        <v>-300</v>
      </c>
    </row>
    <row r="15" spans="1:6" x14ac:dyDescent="0.3">
      <c r="A15">
        <v>20260423</v>
      </c>
      <c r="B15" t="s">
        <v>0</v>
      </c>
      <c r="C15">
        <f>34480*0.9943</f>
        <v>34283.464</v>
      </c>
    </row>
    <row r="16" spans="1:6" x14ac:dyDescent="0.3">
      <c r="A16">
        <v>20260427</v>
      </c>
      <c r="B16" t="s">
        <v>1</v>
      </c>
      <c r="C16">
        <f>32000*0.9943</f>
        <v>31817.599999999999</v>
      </c>
    </row>
    <row r="17" spans="1:3" x14ac:dyDescent="0.3">
      <c r="C17">
        <f>SUM(C11:C16)</f>
        <v>-2459.4060000000027</v>
      </c>
    </row>
    <row r="22" spans="1:3" x14ac:dyDescent="0.3">
      <c r="A22">
        <v>20260430</v>
      </c>
      <c r="B22" t="s">
        <v>22</v>
      </c>
      <c r="C22">
        <v>-149556</v>
      </c>
    </row>
    <row r="23" spans="1:3" x14ac:dyDescent="0.3">
      <c r="A23">
        <v>20260430</v>
      </c>
      <c r="B23" t="s">
        <v>30</v>
      </c>
      <c r="C23">
        <v>5000</v>
      </c>
    </row>
    <row r="24" spans="1:3" x14ac:dyDescent="0.3">
      <c r="A24">
        <v>20260430</v>
      </c>
      <c r="B24" t="s">
        <v>16</v>
      </c>
      <c r="C24">
        <f>C22+C23</f>
        <v>-144556</v>
      </c>
    </row>
    <row r="25" spans="1:3" x14ac:dyDescent="0.3">
      <c r="B25" t="s">
        <v>31</v>
      </c>
      <c r="C25">
        <f>C24-300</f>
        <v>-144856</v>
      </c>
    </row>
    <row r="26" spans="1:3" x14ac:dyDescent="0.3">
      <c r="B26" t="s">
        <v>32</v>
      </c>
      <c r="C26">
        <f>C25*1.01</f>
        <v>-146304.56</v>
      </c>
    </row>
    <row r="28" spans="1:3" x14ac:dyDescent="0.3">
      <c r="A28">
        <v>20260519</v>
      </c>
      <c r="B28" t="s">
        <v>29</v>
      </c>
      <c r="C28">
        <v>-2459.41</v>
      </c>
    </row>
    <row r="29" spans="1:3" x14ac:dyDescent="0.3">
      <c r="A29">
        <v>20260519</v>
      </c>
      <c r="B29" t="s">
        <v>0</v>
      </c>
      <c r="C29">
        <v>-34480</v>
      </c>
    </row>
    <row r="30" spans="1:3" x14ac:dyDescent="0.3">
      <c r="A30">
        <v>20260520</v>
      </c>
      <c r="B30" t="s">
        <v>0</v>
      </c>
      <c r="C30">
        <f>34400*0.9945</f>
        <v>34210.800000000003</v>
      </c>
    </row>
    <row r="31" spans="1:3" x14ac:dyDescent="0.3">
      <c r="A31">
        <v>20260521</v>
      </c>
      <c r="B31" t="s">
        <v>1</v>
      </c>
      <c r="C31">
        <v>-32550.75</v>
      </c>
    </row>
    <row r="32" spans="1:3" x14ac:dyDescent="0.3">
      <c r="A32">
        <v>20260526</v>
      </c>
      <c r="B32" t="s">
        <v>1</v>
      </c>
      <c r="C32">
        <v>32321.25</v>
      </c>
    </row>
    <row r="33" spans="1:5" x14ac:dyDescent="0.3">
      <c r="A33">
        <v>20260526</v>
      </c>
      <c r="B33" t="s">
        <v>27</v>
      </c>
      <c r="C33">
        <v>-300</v>
      </c>
      <c r="E33" t="s">
        <v>33</v>
      </c>
    </row>
    <row r="34" spans="1:5" x14ac:dyDescent="0.3">
      <c r="C34">
        <f>SUM(C28:C33)</f>
        <v>-3258.1100000000006</v>
      </c>
    </row>
    <row r="36" spans="1:5" x14ac:dyDescent="0.3">
      <c r="A36">
        <v>20260530</v>
      </c>
      <c r="B36" t="s">
        <v>22</v>
      </c>
      <c r="C36">
        <v>-146305</v>
      </c>
    </row>
    <row r="37" spans="1:5" x14ac:dyDescent="0.3">
      <c r="A37">
        <v>20260530</v>
      </c>
      <c r="B37" t="s">
        <v>30</v>
      </c>
      <c r="C37">
        <v>5000</v>
      </c>
    </row>
    <row r="38" spans="1:5" x14ac:dyDescent="0.3">
      <c r="A38">
        <v>20260530</v>
      </c>
      <c r="B38" t="s">
        <v>16</v>
      </c>
      <c r="C38">
        <f>SUM(C36:C37)</f>
        <v>-141305</v>
      </c>
    </row>
    <row r="39" spans="1:5" x14ac:dyDescent="0.3">
      <c r="B39" t="s">
        <v>31</v>
      </c>
      <c r="C39">
        <f>-300+C38</f>
        <v>-141605</v>
      </c>
    </row>
    <row r="40" spans="1:5" x14ac:dyDescent="0.3">
      <c r="B40" t="s">
        <v>28</v>
      </c>
      <c r="C40">
        <f>C39*1.01</f>
        <v>-143021.04999999999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D9210-3DDA-47EC-98B6-2A056086F26C}">
  <dimension ref="A1:D13"/>
  <sheetViews>
    <sheetView tabSelected="1" workbookViewId="0">
      <selection activeCell="C16" sqref="C16"/>
    </sheetView>
  </sheetViews>
  <sheetFormatPr defaultRowHeight="14" x14ac:dyDescent="0.3"/>
  <cols>
    <col min="1" max="1" width="10.1640625" bestFit="1" customWidth="1"/>
    <col min="2" max="2" width="16.25" bestFit="1" customWidth="1"/>
    <col min="3" max="3" width="18.6640625" customWidth="1"/>
  </cols>
  <sheetData>
    <row r="1" spans="1:4" x14ac:dyDescent="0.3">
      <c r="A1">
        <v>20260614</v>
      </c>
      <c r="B1" t="s">
        <v>29</v>
      </c>
      <c r="C1">
        <v>-3258.11</v>
      </c>
    </row>
    <row r="2" spans="1:4" x14ac:dyDescent="0.3">
      <c r="A2">
        <v>20260614</v>
      </c>
      <c r="B2" t="s">
        <v>0</v>
      </c>
      <c r="C2">
        <v>-34400</v>
      </c>
    </row>
    <row r="3" spans="1:4" x14ac:dyDescent="0.3">
      <c r="A3">
        <v>20260614</v>
      </c>
      <c r="B3" t="s">
        <v>0</v>
      </c>
      <c r="C3">
        <f>34300*0.9945</f>
        <v>34111.35</v>
      </c>
    </row>
    <row r="4" spans="1:4" x14ac:dyDescent="0.3">
      <c r="A4">
        <v>20260616</v>
      </c>
      <c r="B4" t="s">
        <v>1</v>
      </c>
      <c r="C4">
        <v>-32500</v>
      </c>
    </row>
    <row r="5" spans="1:4" x14ac:dyDescent="0.3">
      <c r="A5">
        <v>20260617</v>
      </c>
      <c r="B5" t="s">
        <v>1</v>
      </c>
      <c r="C5">
        <f>32400*0.9945</f>
        <v>32221.800000000003</v>
      </c>
    </row>
    <row r="6" spans="1:4" x14ac:dyDescent="0.3">
      <c r="A6">
        <v>20206617</v>
      </c>
      <c r="B6" t="s">
        <v>27</v>
      </c>
      <c r="C6">
        <v>-300</v>
      </c>
    </row>
    <row r="7" spans="1:4" x14ac:dyDescent="0.3">
      <c r="A7">
        <v>20260617</v>
      </c>
      <c r="B7" t="s">
        <v>16</v>
      </c>
      <c r="C7">
        <f>SUM(C1:C6)</f>
        <v>-4124.9599999999991</v>
      </c>
    </row>
    <row r="9" spans="1:4" x14ac:dyDescent="0.3">
      <c r="A9">
        <v>20260630</v>
      </c>
      <c r="B9" t="s">
        <v>22</v>
      </c>
      <c r="C9">
        <v>-143021</v>
      </c>
    </row>
    <row r="10" spans="1:4" x14ac:dyDescent="0.3">
      <c r="A10">
        <v>20260630</v>
      </c>
      <c r="B10" t="s">
        <v>30</v>
      </c>
      <c r="C10">
        <v>5000</v>
      </c>
      <c r="D10" t="s">
        <v>34</v>
      </c>
    </row>
    <row r="11" spans="1:4" x14ac:dyDescent="0.3">
      <c r="B11" t="s">
        <v>35</v>
      </c>
      <c r="C11">
        <v>-300</v>
      </c>
    </row>
    <row r="12" spans="1:4" x14ac:dyDescent="0.3">
      <c r="A12">
        <v>20260630</v>
      </c>
      <c r="B12" t="s">
        <v>16</v>
      </c>
      <c r="C12">
        <f>SUM(C9:C11)</f>
        <v>-138321</v>
      </c>
    </row>
    <row r="13" spans="1:4" x14ac:dyDescent="0.3">
      <c r="B13" t="s">
        <v>28</v>
      </c>
      <c r="C13">
        <f>C12*1.01</f>
        <v>-139704.21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第一期</vt:lpstr>
      <vt:lpstr>第二期</vt:lpstr>
      <vt:lpstr>第三期</vt:lpstr>
      <vt:lpstr>第四期</vt:lpstr>
      <vt:lpstr>第五期</vt:lpstr>
      <vt:lpstr>第六期</vt:lpstr>
      <vt:lpstr>第七期</vt:lpstr>
      <vt:lpstr>第八期</vt:lpstr>
      <vt:lpstr>第九期</vt:lpstr>
      <vt:lpstr>第十期</vt:lpstr>
      <vt:lpstr>第十一期</vt:lpstr>
      <vt:lpstr>第十二期</vt:lpstr>
      <vt:lpstr>第十三期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leadh2o</dc:creator>
  <cp:lastModifiedBy>leadh2o</cp:lastModifiedBy>
  <dcterms:created xsi:type="dcterms:W3CDTF">2015-06-05T18:19:34Z</dcterms:created>
  <dcterms:modified xsi:type="dcterms:W3CDTF">2026-07-03T14:46:31Z</dcterms:modified>
</cp:coreProperties>
</file>